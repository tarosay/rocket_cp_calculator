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github\rocket_cp_calculator\"/>
    </mc:Choice>
  </mc:AlternateContent>
  <xr:revisionPtr revIDLastSave="0" documentId="8_{95B32038-FD4C-44D6-A770-6A67FC2C4B7A}" xr6:coauthVersionLast="47" xr6:coauthVersionMax="47" xr10:uidLastSave="{00000000-0000-0000-0000-000000000000}"/>
  <bookViews>
    <workbookView xWindow="30375" yWindow="0" windowWidth="24930" windowHeight="15480" xr2:uid="{2CC2488C-3873-4370-9EDF-B8B185E9C36C}"/>
  </bookViews>
  <sheets>
    <sheet name="修正後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2" l="1"/>
  <c r="B8" i="2"/>
  <c r="B23" i="2" s="1"/>
  <c r="B20" i="2"/>
  <c r="B17" i="2"/>
  <c r="B18" i="2" s="1"/>
  <c r="B4" i="2"/>
  <c r="B27" i="2" l="1"/>
  <c r="B19" i="2"/>
  <c r="B21" i="2" s="1"/>
  <c r="B22" i="2" s="1"/>
  <c r="B24" i="2" s="1"/>
  <c r="B32" i="2" s="1"/>
  <c r="B31" i="2" l="1"/>
  <c r="B33" i="2" s="1"/>
</calcChain>
</file>

<file path=xl/sharedStrings.xml><?xml version="1.0" encoding="utf-8"?>
<sst xmlns="http://schemas.openxmlformats.org/spreadsheetml/2006/main" count="29" uniqueCount="28">
  <si>
    <t>ノーズコーン</t>
    <phoneticPr fontId="1"/>
  </si>
  <si>
    <t>円錐</t>
    <rPh sb="0" eb="2">
      <t>エンスイ</t>
    </rPh>
    <phoneticPr fontId="1"/>
  </si>
  <si>
    <t>スパンS</t>
    <phoneticPr fontId="1"/>
  </si>
  <si>
    <t>根本コード長Lfr</t>
    <rPh sb="0" eb="2">
      <t>ネモト</t>
    </rPh>
    <rPh sb="5" eb="6">
      <t>チョウ</t>
    </rPh>
    <phoneticPr fontId="1"/>
  </si>
  <si>
    <t>先端コード長Lfc</t>
    <rPh sb="0" eb="2">
      <t>センタン</t>
    </rPh>
    <rPh sb="5" eb="6">
      <t>チョウ</t>
    </rPh>
    <phoneticPr fontId="1"/>
  </si>
  <si>
    <t>ロケット径d</t>
    <rPh sb="4" eb="5">
      <t>ケイ</t>
    </rPh>
    <phoneticPr fontId="1"/>
  </si>
  <si>
    <t>枚数n</t>
    <rPh sb="0" eb="2">
      <t>マイスウ</t>
    </rPh>
    <phoneticPr fontId="1"/>
  </si>
  <si>
    <t>フィン群の揚力係数微係数 CNα,FCNα,F​ の計算</t>
    <phoneticPr fontId="1"/>
  </si>
  <si>
    <t>4n(S/d)^2</t>
    <phoneticPr fontId="1"/>
  </si>
  <si>
    <t>(CNα)F</t>
    <phoneticPr fontId="1"/>
  </si>
  <si>
    <r>
      <t>フィン群の圧力中心位置XF</t>
    </r>
    <r>
      <rPr>
        <sz val="11"/>
        <color theme="1"/>
        <rFont val="游ゴシック"/>
        <family val="3"/>
        <charset val="128"/>
        <scheme val="minor"/>
      </rPr>
      <t>の計算</t>
    </r>
    <phoneticPr fontId="1"/>
  </si>
  <si>
    <t>取り付け位置Xf</t>
    <rPh sb="0" eb="1">
      <t>ト</t>
    </rPh>
    <rPh sb="2" eb="3">
      <t>ツ</t>
    </rPh>
    <rPh sb="4" eb="6">
      <t>イチ</t>
    </rPh>
    <phoneticPr fontId="1"/>
  </si>
  <si>
    <t>Lf=Lfr+Lfc</t>
    <phoneticPr fontId="1"/>
  </si>
  <si>
    <t>円錐の空力中心 XN=2/3*L</t>
    <rPh sb="0" eb="2">
      <t>エンスイ</t>
    </rPh>
    <rPh sb="3" eb="7">
      <t>クウリキチュウシン</t>
    </rPh>
    <phoneticPr fontId="1"/>
  </si>
  <si>
    <t>円錐の高さL</t>
    <rPh sb="0" eb="2">
      <t>エンスイ</t>
    </rPh>
    <rPh sb="3" eb="4">
      <t>タカ</t>
    </rPh>
    <phoneticPr fontId="1"/>
  </si>
  <si>
    <t>(CNα​)N​=2.0 （円錐ノーズの場合）</t>
    <phoneticPr fontId="1"/>
  </si>
  <si>
    <t>フィン先端前縁の後退量 ΔX</t>
    <phoneticPr fontId="1"/>
  </si>
  <si>
    <t>λ=2*Lf/(Lfr+Lfc)</t>
    <phoneticPr fontId="1"/>
  </si>
  <si>
    <t>1+SQRT(1+λ^2)</t>
    <phoneticPr fontId="1"/>
  </si>
  <si>
    <t>Lf=sqrt(S^2+ΔXmc^2)</t>
    <phoneticPr fontId="1"/>
  </si>
  <si>
    <t>ΔXmc=Xr;(Lfc-Lfr)/2</t>
    <phoneticPr fontId="1"/>
  </si>
  <si>
    <t>ロケット半径 R</t>
    <rPh sb="4" eb="6">
      <t>ハンケイ</t>
    </rPh>
    <phoneticPr fontId="1"/>
  </si>
  <si>
    <t>Kfb=1+R/(S+R)</t>
    <phoneticPr fontId="1"/>
  </si>
  <si>
    <t>(CNα)F,b=Kfb*(CNα)F</t>
    <phoneticPr fontId="1"/>
  </si>
  <si>
    <t>XFcp</t>
    <phoneticPr fontId="1"/>
  </si>
  <si>
    <t>(CNα)N*Xn+(CNα)F,b*XFcp</t>
    <phoneticPr fontId="1"/>
  </si>
  <si>
    <t>(CNα)N+(CNα)F,b</t>
    <phoneticPr fontId="1"/>
  </si>
  <si>
    <t>全体の圧力中心位置 Xcp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</si>
</sst>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24</xdr:row>
      <xdr:rowOff>228600</xdr:rowOff>
    </xdr:from>
    <xdr:to>
      <xdr:col>6</xdr:col>
      <xdr:colOff>190867</xdr:colOff>
      <xdr:row>28</xdr:row>
      <xdr:rowOff>190628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8BD3920-E6E1-0CFC-6A49-27C017EC3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5943600"/>
          <a:ext cx="2629267" cy="914528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30</xdr:row>
      <xdr:rowOff>57150</xdr:rowOff>
    </xdr:from>
    <xdr:to>
      <xdr:col>7</xdr:col>
      <xdr:colOff>286223</xdr:colOff>
      <xdr:row>32</xdr:row>
      <xdr:rowOff>114374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D18D3A7-CEB2-ED1A-80AD-7718B2314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38650" y="7439025"/>
          <a:ext cx="3391373" cy="533474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14</xdr:row>
      <xdr:rowOff>161925</xdr:rowOff>
    </xdr:from>
    <xdr:to>
      <xdr:col>6</xdr:col>
      <xdr:colOff>171828</xdr:colOff>
      <xdr:row>20</xdr:row>
      <xdr:rowOff>28756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4421E33-C477-6DD3-E9E8-184A5959E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24350" y="3495675"/>
          <a:ext cx="2705478" cy="1295581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0</xdr:row>
      <xdr:rowOff>200025</xdr:rowOff>
    </xdr:from>
    <xdr:to>
      <xdr:col>5</xdr:col>
      <xdr:colOff>190785</xdr:colOff>
      <xdr:row>8</xdr:row>
      <xdr:rowOff>28817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4187462-4155-844E-DC21-8BB93AA0C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24350" y="200025"/>
          <a:ext cx="2038635" cy="17337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50A5-FDA4-48C2-8177-C9FD409A9263}">
  <dimension ref="A1:B33"/>
  <sheetViews>
    <sheetView tabSelected="1" topLeftCell="A7" workbookViewId="0">
      <selection activeCell="B33" sqref="B33"/>
    </sheetView>
  </sheetViews>
  <sheetFormatPr defaultRowHeight="18.75" x14ac:dyDescent="0.4"/>
  <cols>
    <col min="1" max="1" width="45" bestFit="1" customWidth="1"/>
  </cols>
  <sheetData>
    <row r="1" spans="1:2" x14ac:dyDescent="0.4">
      <c r="A1" t="s">
        <v>0</v>
      </c>
    </row>
    <row r="2" spans="1:2" x14ac:dyDescent="0.4">
      <c r="A2" t="s">
        <v>1</v>
      </c>
    </row>
    <row r="3" spans="1:2" x14ac:dyDescent="0.4">
      <c r="A3" t="s">
        <v>14</v>
      </c>
      <c r="B3">
        <v>72.112799999999993</v>
      </c>
    </row>
    <row r="4" spans="1:2" x14ac:dyDescent="0.4">
      <c r="A4" t="s">
        <v>13</v>
      </c>
      <c r="B4">
        <f>B3*2/3</f>
        <v>48.075199999999995</v>
      </c>
    </row>
    <row r="5" spans="1:2" x14ac:dyDescent="0.4">
      <c r="A5" t="s">
        <v>15</v>
      </c>
      <c r="B5">
        <v>2</v>
      </c>
    </row>
    <row r="7" spans="1:2" x14ac:dyDescent="0.4">
      <c r="A7" t="s">
        <v>5</v>
      </c>
      <c r="B7">
        <v>77</v>
      </c>
    </row>
    <row r="8" spans="1:2" x14ac:dyDescent="0.4">
      <c r="A8" t="s">
        <v>21</v>
      </c>
      <c r="B8">
        <f>B7/2</f>
        <v>38.5</v>
      </c>
    </row>
    <row r="10" spans="1:2" x14ac:dyDescent="0.4">
      <c r="A10" t="s">
        <v>7</v>
      </c>
    </row>
    <row r="11" spans="1:2" x14ac:dyDescent="0.4">
      <c r="A11" t="s">
        <v>6</v>
      </c>
      <c r="B11">
        <v>3</v>
      </c>
    </row>
    <row r="12" spans="1:2" x14ac:dyDescent="0.4">
      <c r="A12" t="s">
        <v>11</v>
      </c>
      <c r="B12">
        <v>448.09449999999998</v>
      </c>
    </row>
    <row r="13" spans="1:2" x14ac:dyDescent="0.4">
      <c r="A13" t="s">
        <v>3</v>
      </c>
      <c r="B13">
        <v>120</v>
      </c>
    </row>
    <row r="14" spans="1:2" x14ac:dyDescent="0.4">
      <c r="A14" t="s">
        <v>4</v>
      </c>
      <c r="B14">
        <v>120</v>
      </c>
    </row>
    <row r="15" spans="1:2" x14ac:dyDescent="0.4">
      <c r="A15" t="s">
        <v>16</v>
      </c>
      <c r="B15">
        <v>60</v>
      </c>
    </row>
    <row r="16" spans="1:2" x14ac:dyDescent="0.4">
      <c r="A16" t="s">
        <v>2</v>
      </c>
      <c r="B16">
        <v>60</v>
      </c>
    </row>
    <row r="17" spans="1:2" x14ac:dyDescent="0.4">
      <c r="A17" t="s">
        <v>20</v>
      </c>
      <c r="B17">
        <f>B15+(B14-B13)/2</f>
        <v>60</v>
      </c>
    </row>
    <row r="18" spans="1:2" x14ac:dyDescent="0.4">
      <c r="A18" t="s">
        <v>19</v>
      </c>
      <c r="B18">
        <f>SQRT(B16*B16+B17*B17)</f>
        <v>84.852813742385706</v>
      </c>
    </row>
    <row r="19" spans="1:2" x14ac:dyDescent="0.4">
      <c r="A19" t="s">
        <v>17</v>
      </c>
      <c r="B19">
        <f>2*B18/(B13+B14)</f>
        <v>0.70710678118654757</v>
      </c>
    </row>
    <row r="20" spans="1:2" x14ac:dyDescent="0.4">
      <c r="A20" t="s">
        <v>8</v>
      </c>
      <c r="B20">
        <f>4*B11*(B16/B7)*(B16/B7)</f>
        <v>7.2862202732332619</v>
      </c>
    </row>
    <row r="21" spans="1:2" x14ac:dyDescent="0.4">
      <c r="A21" t="s">
        <v>18</v>
      </c>
      <c r="B21">
        <f>1+SQRT(1+B19*B19)</f>
        <v>2.2247448713915889</v>
      </c>
    </row>
    <row r="22" spans="1:2" x14ac:dyDescent="0.4">
      <c r="A22" t="s">
        <v>9</v>
      </c>
      <c r="B22">
        <f>B20/B21</f>
        <v>3.2750812764771968</v>
      </c>
    </row>
    <row r="23" spans="1:2" x14ac:dyDescent="0.4">
      <c r="A23" t="s">
        <v>22</v>
      </c>
      <c r="B23">
        <f>1+B8/(B16+B8)</f>
        <v>1.3908629441624365</v>
      </c>
    </row>
    <row r="24" spans="1:2" x14ac:dyDescent="0.4">
      <c r="A24" t="s">
        <v>23</v>
      </c>
      <c r="B24">
        <f>B23*B22</f>
        <v>4.5551891865723446</v>
      </c>
    </row>
    <row r="26" spans="1:2" x14ac:dyDescent="0.4">
      <c r="A26" t="s">
        <v>10</v>
      </c>
    </row>
    <row r="27" spans="1:2" x14ac:dyDescent="0.4">
      <c r="A27" t="s">
        <v>12</v>
      </c>
      <c r="B27">
        <f>B14+B17</f>
        <v>180</v>
      </c>
    </row>
    <row r="28" spans="1:2" x14ac:dyDescent="0.4">
      <c r="A28" t="s">
        <v>24</v>
      </c>
      <c r="B28">
        <f>B12+(B15/3)*((B13+2*B14)/(B13+B14))+1/6*((B13+B14)-(B13*B14)/(B13+B14))</f>
        <v>508.09449999999998</v>
      </c>
    </row>
    <row r="30" spans="1:2" x14ac:dyDescent="0.4">
      <c r="A30" t="s">
        <v>27</v>
      </c>
    </row>
    <row r="31" spans="1:2" x14ac:dyDescent="0.4">
      <c r="A31" t="s">
        <v>25</v>
      </c>
      <c r="B31">
        <f>B5*B4+B24*B28</f>
        <v>2410.6169721568822</v>
      </c>
    </row>
    <row r="32" spans="1:2" x14ac:dyDescent="0.4">
      <c r="A32" t="s">
        <v>26</v>
      </c>
      <c r="B32">
        <f>B5+B24</f>
        <v>6.5551891865723446</v>
      </c>
    </row>
    <row r="33" spans="1:2" x14ac:dyDescent="0.4">
      <c r="A33" t="s">
        <v>27</v>
      </c>
      <c r="B33">
        <f>B31/B32</f>
        <v>367.74178495027911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修正後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三七男 山本</dc:creator>
  <cp:lastModifiedBy>三七男 山本</cp:lastModifiedBy>
  <dcterms:created xsi:type="dcterms:W3CDTF">2025-05-25T16:39:09Z</dcterms:created>
  <dcterms:modified xsi:type="dcterms:W3CDTF">2025-11-17T19:02:06Z</dcterms:modified>
</cp:coreProperties>
</file>